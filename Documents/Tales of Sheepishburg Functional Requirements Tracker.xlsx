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ppe\OneDrive\Documents\TalesOfSheepishburg\Documents\"/>
    </mc:Choice>
  </mc:AlternateContent>
  <xr:revisionPtr revIDLastSave="0" documentId="8_{A9E5F152-4DFA-4D4D-AFBA-A4780CC0156F}" xr6:coauthVersionLast="47" xr6:coauthVersionMax="47" xr10:uidLastSave="{00000000-0000-0000-0000-000000000000}"/>
  <bookViews>
    <workbookView xWindow="-110" yWindow="-110" windowWidth="25820" windowHeight="13900" xr2:uid="{E15E19D6-58C8-4F91-BC5A-AD41365C894C}"/>
  </bookViews>
  <sheets>
    <sheet name="Requirements" sheetId="1" r:id="rId1"/>
    <sheet name="Timeline" sheetId="2" r:id="rId2"/>
  </sheets>
  <definedNames>
    <definedName name="CalendarYear">Requirements!$K$3</definedName>
    <definedName name="DaysAndWeeks">{0,1,2,3,4,5,6} + {0;1;2;3;4;5}*7</definedName>
    <definedName name="WeekStart">Requirements!$K$4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P4" i="2"/>
  <c r="N4" i="2"/>
</calcChain>
</file>

<file path=xl/sharedStrings.xml><?xml version="1.0" encoding="utf-8"?>
<sst xmlns="http://schemas.openxmlformats.org/spreadsheetml/2006/main" count="128" uniqueCount="90">
  <si>
    <t>Functional Requirements:</t>
  </si>
  <si>
    <t>Name</t>
  </si>
  <si>
    <t>Current Status:</t>
  </si>
  <si>
    <t>Needed Before Launch:</t>
  </si>
  <si>
    <t>Wanted Before Launch:</t>
  </si>
  <si>
    <t>Functional</t>
  </si>
  <si>
    <t>Done</t>
  </si>
  <si>
    <t>Perfect</t>
  </si>
  <si>
    <t>Very Scuffed</t>
  </si>
  <si>
    <t>Totally Broken</t>
  </si>
  <si>
    <t>DNE Yet</t>
  </si>
  <si>
    <t>Status Options:</t>
  </si>
  <si>
    <t>Animation (partially done) and playtesting with new terrain</t>
  </si>
  <si>
    <t xml:space="preserve"> Player Can move around in the world</t>
  </si>
  <si>
    <t xml:space="preserve"> Dialogue System</t>
  </si>
  <si>
    <t xml:space="preserve"> Quests</t>
  </si>
  <si>
    <t xml:space="preserve"> Special Object Interaction</t>
  </si>
  <si>
    <t xml:space="preserve"> Minigame</t>
  </si>
  <si>
    <t xml:space="preserve"> Menu Screen</t>
  </si>
  <si>
    <t>Updated UI for the dialogue so it fits within the artstyle of the game</t>
  </si>
  <si>
    <t>Technically it works, but it hasn't been implemented yet beyond a simple test</t>
  </si>
  <si>
    <t>An interaction system technically exists with the dialogue system, but it hasn't been fully implemented yet.</t>
  </si>
  <si>
    <t>Description:</t>
  </si>
  <si>
    <t>There's nothing to improve upon.</t>
  </si>
  <si>
    <t>It's intuitive to the user, it's robust, and works as intended.</t>
  </si>
  <si>
    <t>It's not polished at all, it definitely SHOULD be improved before launch, but it does functionally work as intended.</t>
  </si>
  <si>
    <t>The system is somewhat in place, it works when only used as intended, but it may not be intuitive or it has some bugs to work out.</t>
  </si>
  <si>
    <t>The system exists, but it doesn't function as intended in the slightest.</t>
  </si>
  <si>
    <t>I need to get hustling</t>
  </si>
  <si>
    <t>SUNDAY</t>
  </si>
  <si>
    <t>January 2026</t>
  </si>
  <si>
    <t>MONDAY</t>
  </si>
  <si>
    <t>TUESDAY</t>
  </si>
  <si>
    <t>WEDNESDAY</t>
  </si>
  <si>
    <t>THURSDAY</t>
  </si>
  <si>
    <t>FRIDAY</t>
  </si>
  <si>
    <t>SATURDAY</t>
  </si>
  <si>
    <t>February 2026</t>
  </si>
  <si>
    <t>March 2026</t>
  </si>
  <si>
    <t>April 2026</t>
  </si>
  <si>
    <t>May 2026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</si>
  <si>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</si>
  <si>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</si>
  <si>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</si>
  <si>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</si>
  <si>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</si>
  <si>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</si>
  <si>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</si>
  <si>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</si>
  <si>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</si>
  <si>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</si>
  <si>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</si>
  <si>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</si>
  <si>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</si>
  <si>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</si>
  <si>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</si>
  <si>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to</t>
  </si>
  <si>
    <t>Hours Per Week:</t>
  </si>
  <si>
    <t>Weeks:</t>
  </si>
  <si>
    <t>Hours total</t>
  </si>
  <si>
    <t>Estimated Hours Needed:</t>
  </si>
  <si>
    <t>3 to Scuffed, 5 after that to Functional</t>
  </si>
  <si>
    <t>10 to Functional</t>
  </si>
  <si>
    <t>20 to Functional</t>
  </si>
  <si>
    <t>4 to Functional</t>
  </si>
  <si>
    <t>Animation (in general)</t>
  </si>
  <si>
    <t>3D Models (in general)</t>
  </si>
  <si>
    <t>Sound Effects</t>
  </si>
  <si>
    <t>Other:</t>
  </si>
  <si>
    <t>Music</t>
  </si>
  <si>
    <t>Talk animations for all characters, interact animation for PC</t>
  </si>
  <si>
    <t>Walking animations for all NPCs, variations on talking animations for all characters</t>
  </si>
  <si>
    <t>More character models for NPCs, and models for the environment (houses, trees, etc.)</t>
  </si>
  <si>
    <t>Lines are partially written, they just need to be finished according to the outline and then put in the proper format for the dialogue engine.</t>
  </si>
  <si>
    <t>Some extra little dialogue lines for extra characters if you go out of your way to interact with them.</t>
  </si>
  <si>
    <t>Any interaction needs a sound effect. Something I can either find for free online or put a random sound into Audacity and put it through filters until it sounds right</t>
  </si>
  <si>
    <t>Technically I have quite a few songs worked out, but they're all in the form of rusty old practice room piano covers, so I need to take the melodies and make them in an actual music program. I currently have a music production workflow set up on my laptop, so it shouldn't be hard it'll just take a bit of time.</t>
  </si>
  <si>
    <t>There'll be a basic sound for the "interaction" action, and for dialogue initiation. Every other sound effect will be considered polish for time reasons.</t>
  </si>
  <si>
    <t>Probably about 5 hours to get a few songs done.</t>
  </si>
  <si>
    <t>1 hour to functional, 4 hours to find and put a good variety of sounds in.</t>
  </si>
  <si>
    <t>Probably 16 hours to get all the basic environment models + NPC models done</t>
  </si>
  <si>
    <t>Total Estimated Hours to a functional game:</t>
  </si>
  <si>
    <t>*cries*</t>
  </si>
  <si>
    <t>Dialogue Writing/VAing</t>
  </si>
  <si>
    <t>7 hours to complete + format</t>
  </si>
  <si>
    <t>Send to friends + family + anyone I know for an initial playtest</t>
  </si>
  <si>
    <t>Most likely Midterms, plan accordingly</t>
  </si>
  <si>
    <t>Spring Break! Celebrate my birthday, get my driver's license, and then do 7 hours of work on this project.</t>
  </si>
  <si>
    <t xml:space="preserve">Easter break! </t>
  </si>
  <si>
    <t>Lent starts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</si>
</sst>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[$-409]d\-mmm;@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35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b/>
      <sz val="11"/>
      <color theme="1" tint="0.34998626667073579"/>
      <name val="Aptos Narrow"/>
      <family val="2"/>
      <charset val="238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 tint="0.34998626667073579"/>
      <name val="Aptos Narrow"/>
      <family val="2"/>
      <charset val="238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9" tint="0.79998168889431442"/>
      <name val="Aptos Narrow"/>
      <family val="2"/>
      <scheme val="minor"/>
    </font>
    <font>
      <b/>
      <sz val="11"/>
      <color theme="8" tint="0.79998168889431442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2" borderId="0">
      <alignment vertical="center"/>
    </xf>
    <xf numFmtId="0" fontId="5" fillId="0" borderId="10">
      <alignment horizontal="left" vertical="center" indent="1"/>
    </xf>
    <xf numFmtId="164" fontId="6" fillId="0" borderId="0">
      <alignment horizontal="left" indent="1"/>
    </xf>
    <xf numFmtId="164" fontId="7" fillId="4" borderId="0">
      <alignment horizontal="left" wrapText="1" indent="1"/>
    </xf>
    <xf numFmtId="0" fontId="8" fillId="0" borderId="0" applyAlignment="0">
      <alignment horizontal="left"/>
    </xf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165" fontId="0" fillId="0" borderId="0" xfId="0" applyNumberFormat="1"/>
    <xf numFmtId="164" fontId="0" fillId="0" borderId="0" xfId="0" applyNumberFormat="1"/>
    <xf numFmtId="164" fontId="1" fillId="5" borderId="0" xfId="0" applyNumberFormat="1" applyFont="1" applyFill="1"/>
    <xf numFmtId="164" fontId="0" fillId="5" borderId="0" xfId="0" applyNumberFormat="1" applyFill="1"/>
    <xf numFmtId="164" fontId="9" fillId="5" borderId="0" xfId="0" applyNumberFormat="1" applyFont="1" applyFill="1"/>
    <xf numFmtId="164" fontId="1" fillId="6" borderId="0" xfId="0" applyNumberFormat="1" applyFont="1" applyFill="1"/>
    <xf numFmtId="164" fontId="0" fillId="6" borderId="0" xfId="0" applyNumberFormat="1" applyFill="1"/>
    <xf numFmtId="164" fontId="9" fillId="6" borderId="0" xfId="0" applyNumberFormat="1" applyFont="1" applyFill="1"/>
    <xf numFmtId="164" fontId="1" fillId="7" borderId="0" xfId="0" applyNumberFormat="1" applyFont="1" applyFill="1"/>
    <xf numFmtId="164" fontId="0" fillId="7" borderId="0" xfId="0" applyNumberFormat="1" applyFill="1"/>
    <xf numFmtId="164" fontId="1" fillId="8" borderId="0" xfId="0" applyNumberFormat="1" applyFont="1" applyFill="1"/>
    <xf numFmtId="164" fontId="0" fillId="8" borderId="0" xfId="0" applyNumberFormat="1" applyFill="1"/>
    <xf numFmtId="164" fontId="1" fillId="9" borderId="0" xfId="0" applyNumberFormat="1" applyFont="1" applyFill="1"/>
    <xf numFmtId="164" fontId="0" fillId="9" borderId="0" xfId="0" applyNumberFormat="1" applyFill="1"/>
    <xf numFmtId="164" fontId="9" fillId="9" borderId="0" xfId="0" applyNumberFormat="1" applyFont="1" applyFill="1"/>
    <xf numFmtId="164" fontId="10" fillId="10" borderId="0" xfId="0" applyNumberFormat="1" applyFont="1" applyFill="1"/>
    <xf numFmtId="164" fontId="11" fillId="3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wrapText="1"/>
    </xf>
    <xf numFmtId="0" fontId="2" fillId="0" borderId="0" xfId="0" applyFont="1" applyAlignment="1">
      <alignment wrapText="1"/>
    </xf>
    <xf numFmtId="0" fontId="0" fillId="0" borderId="3" xfId="0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14" xfId="0" applyFont="1" applyBorder="1" applyAlignment="1">
      <alignment wrapText="1"/>
    </xf>
    <xf numFmtId="9" fontId="0" fillId="0" borderId="0" xfId="0" applyNumberFormat="1" applyAlignment="1">
      <alignment wrapText="1"/>
    </xf>
    <xf numFmtId="164" fontId="13" fillId="7" borderId="0" xfId="0" applyNumberFormat="1" applyFont="1" applyFill="1"/>
    <xf numFmtId="0" fontId="13" fillId="0" borderId="0" xfId="0" applyFont="1"/>
    <xf numFmtId="164" fontId="13" fillId="6" borderId="0" xfId="0" applyNumberFormat="1" applyFont="1" applyFill="1"/>
    <xf numFmtId="164" fontId="14" fillId="8" borderId="0" xfId="0" applyNumberFormat="1" applyFont="1" applyFill="1"/>
  </cellXfs>
  <cellStyles count="6">
    <cellStyle name="Banded" xfId="4" xr:uid="{9B21D037-390E-4E9B-B2A8-B223419955E1}"/>
    <cellStyle name="Day" xfId="3" xr:uid="{400AF3F2-C5F9-4181-8C0B-CAC4B90E0377}"/>
    <cellStyle name="Day-Name" xfId="2" xr:uid="{9664BD34-009D-4362-BD0D-9F9A4C597E18}"/>
    <cellStyle name="Month" xfId="1" xr:uid="{BE4E6254-D7CF-4851-8756-ADFD09BEE3BB}"/>
    <cellStyle name="Normal" xfId="0" builtinId="0"/>
    <cellStyle name="Settings Entry" xfId="5" xr:uid="{F90AF481-1C2D-4789-82C7-074A70D6B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A2A2-2FD7-4B82-8CEE-98F5DA698DA4}">
  <dimension ref="A2:M17"/>
  <sheetViews>
    <sheetView tabSelected="1" zoomScale="85" zoomScaleNormal="85" workbookViewId="0">
      <selection activeCell="J14" sqref="J14"/>
    </sheetView>
  </sheetViews>
  <sheetFormatPr defaultRowHeight="14.5" x14ac:dyDescent="0.35"/>
  <cols>
    <col min="2" max="2" width="34.7265625" style="1" customWidth="1"/>
    <col min="3" max="3" width="19.36328125" customWidth="1"/>
    <col min="4" max="4" width="28" customWidth="1"/>
    <col min="5" max="5" width="27.81640625" customWidth="1"/>
    <col min="6" max="6" width="30.1796875" customWidth="1"/>
    <col min="12" max="12" width="19.90625" customWidth="1"/>
    <col min="13" max="13" width="22.453125" style="6" customWidth="1"/>
  </cols>
  <sheetData>
    <row r="2" spans="1:13" ht="21.5" thickBot="1" x14ac:dyDescent="0.55000000000000004">
      <c r="A2" s="2"/>
      <c r="B2" s="33" t="s">
        <v>0</v>
      </c>
      <c r="C2" s="2"/>
      <c r="D2" s="2"/>
      <c r="E2" s="2"/>
      <c r="F2" s="2"/>
    </row>
    <row r="3" spans="1:13" ht="18.5" x14ac:dyDescent="0.45">
      <c r="A3" s="34"/>
      <c r="B3" s="35" t="s">
        <v>1</v>
      </c>
      <c r="C3" s="35" t="s">
        <v>2</v>
      </c>
      <c r="D3" s="35" t="s">
        <v>3</v>
      </c>
      <c r="E3" s="35" t="s">
        <v>4</v>
      </c>
      <c r="F3" s="35" t="s">
        <v>60</v>
      </c>
      <c r="L3" s="3" t="s">
        <v>11</v>
      </c>
      <c r="M3" s="7" t="s">
        <v>22</v>
      </c>
    </row>
    <row r="4" spans="1:13" ht="52" customHeight="1" x14ac:dyDescent="0.35">
      <c r="A4" s="36">
        <v>1</v>
      </c>
      <c r="B4" s="37" t="s">
        <v>13</v>
      </c>
      <c r="C4" s="2" t="s">
        <v>5</v>
      </c>
      <c r="D4" s="2"/>
      <c r="E4" s="2" t="s">
        <v>12</v>
      </c>
      <c r="F4" s="2"/>
      <c r="L4" s="4" t="s">
        <v>7</v>
      </c>
      <c r="M4" s="8" t="s">
        <v>23</v>
      </c>
    </row>
    <row r="5" spans="1:13" ht="53" customHeight="1" x14ac:dyDescent="0.35">
      <c r="A5" s="36">
        <v>2</v>
      </c>
      <c r="B5" s="37" t="s">
        <v>14</v>
      </c>
      <c r="C5" s="2" t="s">
        <v>8</v>
      </c>
      <c r="D5" s="2" t="s">
        <v>20</v>
      </c>
      <c r="E5" s="2" t="s">
        <v>19</v>
      </c>
      <c r="F5" s="2" t="s">
        <v>64</v>
      </c>
      <c r="G5">
        <v>4</v>
      </c>
      <c r="L5" s="4" t="s">
        <v>6</v>
      </c>
      <c r="M5" s="8" t="s">
        <v>24</v>
      </c>
    </row>
    <row r="6" spans="1:13" ht="89" customHeight="1" x14ac:dyDescent="0.35">
      <c r="A6" s="36">
        <v>3</v>
      </c>
      <c r="B6" s="37" t="s">
        <v>15</v>
      </c>
      <c r="C6" s="2" t="s">
        <v>10</v>
      </c>
      <c r="D6" s="2"/>
      <c r="E6" s="2"/>
      <c r="F6" s="2" t="s">
        <v>61</v>
      </c>
      <c r="G6">
        <v>8</v>
      </c>
      <c r="L6" s="4" t="s">
        <v>5</v>
      </c>
      <c r="M6" s="8" t="s">
        <v>25</v>
      </c>
    </row>
    <row r="7" spans="1:13" ht="74" customHeight="1" x14ac:dyDescent="0.35">
      <c r="A7" s="36">
        <v>4</v>
      </c>
      <c r="B7" s="37" t="s">
        <v>16</v>
      </c>
      <c r="C7" s="2" t="s">
        <v>8</v>
      </c>
      <c r="D7" s="2" t="s">
        <v>21</v>
      </c>
      <c r="E7" s="2"/>
      <c r="F7" s="2" t="s">
        <v>62</v>
      </c>
      <c r="G7">
        <v>10</v>
      </c>
      <c r="L7" s="4" t="s">
        <v>8</v>
      </c>
      <c r="M7" s="8" t="s">
        <v>26</v>
      </c>
    </row>
    <row r="8" spans="1:13" ht="75.5" customHeight="1" x14ac:dyDescent="0.35">
      <c r="A8" s="36">
        <v>5</v>
      </c>
      <c r="B8" s="37" t="s">
        <v>17</v>
      </c>
      <c r="C8" s="2" t="s">
        <v>10</v>
      </c>
      <c r="D8" s="2"/>
      <c r="E8" s="2"/>
      <c r="F8" s="2" t="s">
        <v>63</v>
      </c>
      <c r="G8">
        <v>20</v>
      </c>
      <c r="L8" s="4" t="s">
        <v>9</v>
      </c>
      <c r="M8" s="8" t="s">
        <v>27</v>
      </c>
    </row>
    <row r="9" spans="1:13" ht="67.5" customHeight="1" thickBot="1" x14ac:dyDescent="0.4">
      <c r="A9" s="34">
        <v>6</v>
      </c>
      <c r="B9" s="38" t="s">
        <v>18</v>
      </c>
      <c r="C9" s="39" t="s">
        <v>10</v>
      </c>
      <c r="D9" s="39"/>
      <c r="E9" s="39"/>
      <c r="F9" s="39" t="s">
        <v>64</v>
      </c>
      <c r="G9">
        <v>4</v>
      </c>
      <c r="L9" s="5" t="s">
        <v>10</v>
      </c>
      <c r="M9" s="9" t="s">
        <v>28</v>
      </c>
    </row>
    <row r="10" spans="1:13" ht="18.5" x14ac:dyDescent="0.45">
      <c r="A10" s="32"/>
      <c r="B10" s="40" t="s">
        <v>68</v>
      </c>
      <c r="C10" s="32"/>
      <c r="D10" s="32"/>
      <c r="E10" s="32"/>
      <c r="F10" s="32"/>
    </row>
    <row r="11" spans="1:13" ht="42.5" customHeight="1" x14ac:dyDescent="0.35">
      <c r="A11" s="36">
        <v>7</v>
      </c>
      <c r="B11" s="37" t="s">
        <v>65</v>
      </c>
      <c r="C11" s="41">
        <v>0.2</v>
      </c>
      <c r="D11" s="2" t="s">
        <v>70</v>
      </c>
      <c r="E11" s="2" t="s">
        <v>71</v>
      </c>
      <c r="F11" s="2" t="s">
        <v>82</v>
      </c>
      <c r="G11">
        <v>20</v>
      </c>
    </row>
    <row r="12" spans="1:13" ht="64" customHeight="1" x14ac:dyDescent="0.35">
      <c r="A12" s="36">
        <v>8</v>
      </c>
      <c r="B12" s="37" t="s">
        <v>66</v>
      </c>
      <c r="C12" s="41">
        <v>0.2</v>
      </c>
      <c r="D12" s="2" t="s">
        <v>72</v>
      </c>
      <c r="E12" s="2"/>
      <c r="F12" s="2" t="s">
        <v>80</v>
      </c>
      <c r="G12">
        <v>16</v>
      </c>
    </row>
    <row r="13" spans="1:13" ht="89.5" customHeight="1" x14ac:dyDescent="0.35">
      <c r="A13" s="36">
        <v>9</v>
      </c>
      <c r="B13" s="37" t="s">
        <v>83</v>
      </c>
      <c r="C13" s="41">
        <v>0.4</v>
      </c>
      <c r="D13" s="2" t="s">
        <v>73</v>
      </c>
      <c r="E13" s="2" t="s">
        <v>74</v>
      </c>
      <c r="F13" s="2" t="s">
        <v>84</v>
      </c>
      <c r="G13">
        <v>7</v>
      </c>
    </row>
    <row r="14" spans="1:13" ht="98" customHeight="1" x14ac:dyDescent="0.35">
      <c r="A14" s="36">
        <v>10</v>
      </c>
      <c r="B14" s="37" t="s">
        <v>67</v>
      </c>
      <c r="C14" s="41">
        <v>0</v>
      </c>
      <c r="D14" s="2" t="s">
        <v>75</v>
      </c>
      <c r="E14" s="2" t="s">
        <v>77</v>
      </c>
      <c r="F14" s="2" t="s">
        <v>79</v>
      </c>
      <c r="G14">
        <v>5</v>
      </c>
    </row>
    <row r="15" spans="1:13" ht="167.5" customHeight="1" x14ac:dyDescent="0.35">
      <c r="A15" s="36">
        <v>11</v>
      </c>
      <c r="B15" s="37" t="s">
        <v>69</v>
      </c>
      <c r="C15" s="41">
        <v>0.4</v>
      </c>
      <c r="D15" s="2" t="s">
        <v>76</v>
      </c>
      <c r="E15" s="2"/>
      <c r="F15" s="2" t="s">
        <v>78</v>
      </c>
      <c r="G15">
        <v>5</v>
      </c>
    </row>
    <row r="17" spans="1:3" x14ac:dyDescent="0.35">
      <c r="A17" t="s">
        <v>81</v>
      </c>
      <c r="C17">
        <f>SUM(G5:G15)</f>
        <v>99</v>
      </c>
    </row>
  </sheetData>
  <phoneticPr fontId="12" type="noConversion"/>
  <dataValidations count="1">
    <dataValidation type="list" allowBlank="1" showInputMessage="1" showErrorMessage="1" sqref="C4:C9" xr:uid="{3367F1AE-9CDC-4E9A-9F6F-B83F46385A05}">
      <formula1>$L$4:$L$9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6B52-AA6D-418B-9D4E-620AACE274A4}">
  <dimension ref="B1:Q532"/>
  <sheetViews>
    <sheetView topLeftCell="A27" workbookViewId="0">
      <selection activeCell="N12" sqref="N12"/>
    </sheetView>
  </sheetViews>
  <sheetFormatPr defaultRowHeight="14.5" x14ac:dyDescent="0.35"/>
  <cols>
    <col min="2" max="4" width="10.6328125" customWidth="1"/>
    <col min="5" max="5" width="13.36328125" customWidth="1"/>
    <col min="6" max="8" width="10.6328125" customWidth="1"/>
    <col min="17" max="17" width="12.7265625" customWidth="1"/>
  </cols>
  <sheetData>
    <row r="1" spans="2:17" ht="25" customHeight="1" x14ac:dyDescent="0.35">
      <c r="B1" s="22" t="s">
        <v>30</v>
      </c>
      <c r="C1" s="23"/>
      <c r="D1" s="23"/>
      <c r="E1" s="23"/>
      <c r="F1" s="23"/>
      <c r="G1" s="23"/>
      <c r="H1" s="23"/>
    </row>
    <row r="2" spans="2:17" ht="25" customHeight="1" x14ac:dyDescent="0.35">
      <c r="B2" s="23" t="s">
        <v>29</v>
      </c>
      <c r="C2" s="23" t="s">
        <v>31</v>
      </c>
      <c r="D2" s="23" t="s">
        <v>32</v>
      </c>
      <c r="E2" s="23" t="s">
        <v>33</v>
      </c>
      <c r="F2" s="23" t="s">
        <v>34</v>
      </c>
      <c r="G2" s="23" t="s">
        <v>35</v>
      </c>
      <c r="H2" s="23" t="s">
        <v>36</v>
      </c>
    </row>
    <row r="3" spans="2:17" ht="25" customHeight="1" thickBot="1" x14ac:dyDescent="0.4">
      <c r="B3" s="24">
        <v>46019</v>
      </c>
      <c r="C3" s="24">
        <v>46020</v>
      </c>
      <c r="D3" s="24">
        <v>46021</v>
      </c>
      <c r="E3" s="24">
        <v>46022</v>
      </c>
      <c r="F3" s="23">
        <v>46023</v>
      </c>
      <c r="G3" s="23">
        <v>46024</v>
      </c>
      <c r="H3" s="23">
        <v>46025</v>
      </c>
      <c r="L3" t="s">
        <v>57</v>
      </c>
      <c r="N3" s="27">
        <v>5</v>
      </c>
      <c r="O3" s="27" t="s">
        <v>56</v>
      </c>
      <c r="P3" s="27">
        <v>8</v>
      </c>
    </row>
    <row r="4" spans="2:17" ht="25" customHeight="1" thickBot="1" x14ac:dyDescent="0.4">
      <c r="B4" s="23"/>
      <c r="C4" s="23"/>
      <c r="D4" s="23"/>
      <c r="E4" s="23"/>
      <c r="F4" s="23"/>
      <c r="G4" s="23"/>
      <c r="H4" s="23"/>
      <c r="L4" t="s">
        <v>58</v>
      </c>
      <c r="M4" s="28">
        <v>16</v>
      </c>
      <c r="N4" s="29">
        <f>N3*M4</f>
        <v>80</v>
      </c>
      <c r="O4" s="30" t="s">
        <v>56</v>
      </c>
      <c r="P4" s="30">
        <f>P3*M4</f>
        <v>128</v>
      </c>
      <c r="Q4" s="31" t="s">
        <v>59</v>
      </c>
    </row>
    <row r="5" spans="2:17" ht="25" customHeight="1" x14ac:dyDescent="0.35">
      <c r="B5" s="23">
        <v>46026</v>
      </c>
      <c r="C5" s="23">
        <v>46027</v>
      </c>
      <c r="D5" s="23">
        <v>46028</v>
      </c>
      <c r="E5" s="23">
        <v>46029</v>
      </c>
      <c r="F5" s="23">
        <v>46030</v>
      </c>
      <c r="G5" s="23">
        <v>46031</v>
      </c>
      <c r="H5" s="23">
        <v>46032</v>
      </c>
    </row>
    <row r="6" spans="2:17" ht="25" customHeight="1" x14ac:dyDescent="0.35">
      <c r="B6" s="23"/>
      <c r="C6" s="23"/>
      <c r="D6" s="23"/>
      <c r="E6" s="23"/>
      <c r="F6" s="23"/>
      <c r="G6" s="23"/>
      <c r="H6" s="23"/>
    </row>
    <row r="7" spans="2:17" ht="25" customHeight="1" x14ac:dyDescent="0.35">
      <c r="B7" s="23">
        <v>46033</v>
      </c>
      <c r="C7" s="23">
        <v>46034</v>
      </c>
      <c r="D7" s="23">
        <v>46035</v>
      </c>
      <c r="E7" s="22">
        <v>46036</v>
      </c>
      <c r="F7" s="26">
        <v>46037</v>
      </c>
      <c r="G7" s="23">
        <v>46038</v>
      </c>
      <c r="H7" s="23">
        <v>46039</v>
      </c>
    </row>
    <row r="8" spans="2:17" ht="25" customHeight="1" x14ac:dyDescent="0.35">
      <c r="B8" s="23"/>
      <c r="C8" s="23"/>
      <c r="D8" s="23"/>
      <c r="E8" s="23"/>
      <c r="F8" s="23"/>
      <c r="G8" s="23"/>
      <c r="H8" s="23"/>
    </row>
    <row r="9" spans="2:17" ht="25" customHeight="1" x14ac:dyDescent="0.35">
      <c r="B9" s="23">
        <v>46040</v>
      </c>
      <c r="C9" s="23">
        <v>46041</v>
      </c>
      <c r="D9" s="23">
        <v>46042</v>
      </c>
      <c r="E9" s="23">
        <v>46043</v>
      </c>
      <c r="F9" s="23">
        <v>46044</v>
      </c>
      <c r="G9" s="23">
        <v>46045</v>
      </c>
      <c r="H9" s="23">
        <v>46046</v>
      </c>
      <c r="J9" t="s">
        <v>41</v>
      </c>
    </row>
    <row r="10" spans="2:17" ht="25" customHeight="1" x14ac:dyDescent="0.35">
      <c r="B10" s="23"/>
      <c r="C10" s="23"/>
      <c r="D10" s="23"/>
      <c r="E10" s="23"/>
      <c r="F10" s="23"/>
      <c r="G10" s="23"/>
      <c r="H10" s="23"/>
    </row>
    <row r="11" spans="2:17" ht="25" customHeight="1" x14ac:dyDescent="0.35">
      <c r="B11" s="23">
        <v>46047</v>
      </c>
      <c r="C11" s="23">
        <v>46048</v>
      </c>
      <c r="D11" s="23">
        <v>46049</v>
      </c>
      <c r="E11" s="23">
        <v>46050</v>
      </c>
      <c r="F11" s="23">
        <v>46051</v>
      </c>
      <c r="G11" s="23">
        <v>46052</v>
      </c>
      <c r="H11" s="23">
        <v>46053</v>
      </c>
      <c r="J11" t="s">
        <v>42</v>
      </c>
    </row>
    <row r="12" spans="2:17" ht="25" customHeight="1" x14ac:dyDescent="0.35">
      <c r="B12" s="11"/>
      <c r="C12" s="11"/>
      <c r="D12" s="11"/>
      <c r="E12" s="11"/>
      <c r="F12" s="11"/>
      <c r="G12" s="11"/>
      <c r="H12" s="11"/>
    </row>
    <row r="13" spans="2:17" ht="25" customHeight="1" x14ac:dyDescent="0.35">
      <c r="B13" s="20" t="s">
        <v>37</v>
      </c>
      <c r="C13" s="21"/>
      <c r="D13" s="21"/>
      <c r="E13" s="21"/>
      <c r="F13" s="21"/>
      <c r="G13" s="21"/>
      <c r="H13" s="21"/>
    </row>
    <row r="14" spans="2:17" ht="25" customHeight="1" x14ac:dyDescent="0.35">
      <c r="B14" s="21" t="s">
        <v>29</v>
      </c>
      <c r="C14" s="21" t="s">
        <v>31</v>
      </c>
      <c r="D14" s="21" t="s">
        <v>32</v>
      </c>
      <c r="E14" s="21" t="s">
        <v>33</v>
      </c>
      <c r="F14" s="21" t="s">
        <v>34</v>
      </c>
      <c r="G14" s="21" t="s">
        <v>35</v>
      </c>
      <c r="H14" s="21" t="s">
        <v>36</v>
      </c>
    </row>
    <row r="15" spans="2:17" ht="25" customHeight="1" x14ac:dyDescent="0.35">
      <c r="B15" s="21">
        <v>46054</v>
      </c>
      <c r="C15" s="21">
        <v>46055</v>
      </c>
      <c r="D15" s="21">
        <v>46056</v>
      </c>
      <c r="E15" s="21">
        <v>46057</v>
      </c>
      <c r="F15" s="21">
        <v>46058</v>
      </c>
      <c r="G15" s="21">
        <v>46059</v>
      </c>
      <c r="H15" s="21">
        <v>46060</v>
      </c>
      <c r="J15" t="s">
        <v>43</v>
      </c>
    </row>
    <row r="16" spans="2:17" ht="25" customHeight="1" x14ac:dyDescent="0.35">
      <c r="B16" s="21"/>
      <c r="C16" s="21"/>
      <c r="D16" s="21"/>
      <c r="E16" s="21"/>
      <c r="F16" s="21"/>
      <c r="G16" s="21"/>
      <c r="H16" s="21"/>
    </row>
    <row r="17" spans="2:12" ht="25" customHeight="1" x14ac:dyDescent="0.35">
      <c r="B17" s="21">
        <v>46061</v>
      </c>
      <c r="C17" s="21">
        <v>46062</v>
      </c>
      <c r="D17" s="21">
        <v>46063</v>
      </c>
      <c r="E17" s="21">
        <v>46064</v>
      </c>
      <c r="F17" s="21">
        <v>46065</v>
      </c>
      <c r="G17" s="21">
        <v>46066</v>
      </c>
      <c r="H17" s="21">
        <v>46067</v>
      </c>
      <c r="J17" t="s">
        <v>44</v>
      </c>
    </row>
    <row r="18" spans="2:12" ht="25" customHeight="1" x14ac:dyDescent="0.35">
      <c r="B18" s="21"/>
      <c r="C18" s="21"/>
      <c r="D18" s="21"/>
      <c r="E18" s="21"/>
      <c r="F18" s="21"/>
      <c r="G18" s="21"/>
      <c r="H18" s="21"/>
    </row>
    <row r="19" spans="2:12" ht="25" customHeight="1" x14ac:dyDescent="0.35">
      <c r="B19" s="21">
        <v>46068</v>
      </c>
      <c r="C19" s="21">
        <v>46069</v>
      </c>
      <c r="D19" s="21">
        <v>46070</v>
      </c>
      <c r="E19" s="45">
        <v>46071</v>
      </c>
      <c r="F19" s="21">
        <v>46072</v>
      </c>
      <c r="G19" s="21">
        <v>46073</v>
      </c>
      <c r="H19" s="21">
        <v>46074</v>
      </c>
      <c r="J19" t="s">
        <v>45</v>
      </c>
      <c r="L19" t="s">
        <v>89</v>
      </c>
    </row>
    <row r="20" spans="2:12" ht="25" customHeight="1" x14ac:dyDescent="0.35">
      <c r="B20" s="21"/>
      <c r="C20" s="21"/>
      <c r="D20" s="21"/>
      <c r="E20" s="21"/>
      <c r="F20" s="21"/>
      <c r="G20" s="21"/>
      <c r="H20" s="21"/>
    </row>
    <row r="21" spans="2:12" ht="25" customHeight="1" x14ac:dyDescent="0.35">
      <c r="B21" s="21">
        <v>46075</v>
      </c>
      <c r="C21" s="21">
        <v>46076</v>
      </c>
      <c r="D21" s="21">
        <v>46077</v>
      </c>
      <c r="E21" s="21">
        <v>46078</v>
      </c>
      <c r="F21" s="21">
        <v>46079</v>
      </c>
      <c r="G21" s="21">
        <v>46080</v>
      </c>
      <c r="H21" s="21">
        <v>46081</v>
      </c>
      <c r="J21" t="s">
        <v>46</v>
      </c>
      <c r="L21" t="s">
        <v>86</v>
      </c>
    </row>
    <row r="22" spans="2:12" ht="25" customHeight="1" x14ac:dyDescent="0.35">
      <c r="B22" s="11"/>
      <c r="C22" s="11"/>
      <c r="D22" s="11"/>
      <c r="E22" s="11"/>
      <c r="F22" s="11"/>
      <c r="G22" s="11"/>
      <c r="H22" s="11"/>
    </row>
    <row r="23" spans="2:12" ht="25" customHeight="1" x14ac:dyDescent="0.35">
      <c r="B23" s="18" t="s">
        <v>38</v>
      </c>
      <c r="C23" s="19"/>
      <c r="D23" s="19"/>
      <c r="E23" s="19"/>
      <c r="F23" s="19"/>
      <c r="G23" s="19"/>
      <c r="H23" s="19"/>
    </row>
    <row r="24" spans="2:12" ht="25" customHeight="1" x14ac:dyDescent="0.35">
      <c r="B24" s="19" t="s">
        <v>29</v>
      </c>
      <c r="C24" s="19" t="s">
        <v>31</v>
      </c>
      <c r="D24" s="19" t="s">
        <v>32</v>
      </c>
      <c r="E24" s="19" t="s">
        <v>33</v>
      </c>
      <c r="F24" s="19" t="s">
        <v>34</v>
      </c>
      <c r="G24" s="19" t="s">
        <v>35</v>
      </c>
      <c r="H24" s="19" t="s">
        <v>36</v>
      </c>
    </row>
    <row r="25" spans="2:12" ht="25" customHeight="1" x14ac:dyDescent="0.35">
      <c r="B25" s="42">
        <v>46082</v>
      </c>
      <c r="C25" s="42">
        <v>46083</v>
      </c>
      <c r="D25" s="42">
        <v>46084</v>
      </c>
      <c r="E25" s="42">
        <v>46085</v>
      </c>
      <c r="F25" s="42">
        <v>46086</v>
      </c>
      <c r="G25" s="42">
        <v>46087</v>
      </c>
      <c r="H25" s="42">
        <v>46088</v>
      </c>
      <c r="J25" s="43" t="s">
        <v>47</v>
      </c>
      <c r="L25" t="s">
        <v>87</v>
      </c>
    </row>
    <row r="26" spans="2:12" ht="25" customHeight="1" x14ac:dyDescent="0.35">
      <c r="B26" s="42"/>
      <c r="C26" s="42"/>
      <c r="D26" s="42"/>
      <c r="E26" s="42"/>
      <c r="F26" s="42"/>
      <c r="G26" s="42"/>
      <c r="H26" s="42"/>
    </row>
    <row r="27" spans="2:12" ht="25" customHeight="1" x14ac:dyDescent="0.35">
      <c r="B27" s="42">
        <v>46089</v>
      </c>
      <c r="C27" s="42">
        <v>46090</v>
      </c>
      <c r="D27" s="42">
        <v>46091</v>
      </c>
      <c r="E27" s="42">
        <v>46092</v>
      </c>
      <c r="F27" s="42">
        <v>46093</v>
      </c>
      <c r="G27" s="42">
        <v>46094</v>
      </c>
      <c r="H27" s="42">
        <v>46095</v>
      </c>
      <c r="J27" s="43" t="s">
        <v>48</v>
      </c>
      <c r="L27" t="s">
        <v>85</v>
      </c>
    </row>
    <row r="28" spans="2:12" ht="25" customHeight="1" x14ac:dyDescent="0.35">
      <c r="B28" s="42"/>
      <c r="C28" s="42"/>
      <c r="D28" s="42"/>
      <c r="E28" s="42"/>
      <c r="F28" s="42"/>
      <c r="G28" s="42"/>
      <c r="H28" s="42"/>
    </row>
    <row r="29" spans="2:12" ht="25" customHeight="1" x14ac:dyDescent="0.35">
      <c r="B29" s="42">
        <v>46096</v>
      </c>
      <c r="C29" s="19">
        <v>46097</v>
      </c>
      <c r="D29" s="19">
        <v>46098</v>
      </c>
      <c r="E29" s="19">
        <v>46099</v>
      </c>
      <c r="F29" s="19">
        <v>46100</v>
      </c>
      <c r="G29" s="19">
        <v>46101</v>
      </c>
      <c r="H29" s="19">
        <v>46102</v>
      </c>
      <c r="J29" t="s">
        <v>49</v>
      </c>
    </row>
    <row r="30" spans="2:12" ht="25" customHeight="1" x14ac:dyDescent="0.35">
      <c r="B30" s="42"/>
      <c r="C30" s="19"/>
      <c r="D30" s="19"/>
      <c r="E30" s="19"/>
      <c r="F30" s="19"/>
      <c r="G30" s="19"/>
      <c r="H30" s="19"/>
    </row>
    <row r="31" spans="2:12" ht="25" customHeight="1" x14ac:dyDescent="0.35">
      <c r="B31" s="19">
        <v>46103</v>
      </c>
      <c r="C31" s="19">
        <v>46104</v>
      </c>
      <c r="D31" s="19">
        <v>46105</v>
      </c>
      <c r="E31" s="19">
        <v>46106</v>
      </c>
      <c r="F31" s="19">
        <v>46107</v>
      </c>
      <c r="G31" s="19">
        <v>46108</v>
      </c>
      <c r="H31" s="19">
        <v>46109</v>
      </c>
      <c r="J31" t="s">
        <v>50</v>
      </c>
    </row>
    <row r="32" spans="2:12" ht="25" customHeight="1" x14ac:dyDescent="0.35">
      <c r="B32" s="19"/>
      <c r="C32" s="19"/>
      <c r="D32" s="19"/>
      <c r="E32" s="19"/>
      <c r="F32" s="19"/>
      <c r="G32" s="19"/>
      <c r="H32" s="19"/>
    </row>
    <row r="33" spans="2:12" ht="25" customHeight="1" x14ac:dyDescent="0.35">
      <c r="B33" s="19">
        <v>46110</v>
      </c>
      <c r="C33" s="19">
        <v>46111</v>
      </c>
      <c r="D33" s="19">
        <v>46112</v>
      </c>
      <c r="E33" s="19"/>
      <c r="F33" s="19"/>
      <c r="G33" s="19"/>
      <c r="H33" s="19"/>
      <c r="J33" t="s">
        <v>51</v>
      </c>
    </row>
    <row r="34" spans="2:12" ht="25" customHeight="1" x14ac:dyDescent="0.35">
      <c r="B34" s="11"/>
      <c r="C34" s="11"/>
      <c r="D34" s="11"/>
      <c r="E34" s="11"/>
      <c r="F34" s="11"/>
      <c r="G34" s="11"/>
      <c r="H34" s="11"/>
    </row>
    <row r="35" spans="2:12" ht="25" customHeight="1" x14ac:dyDescent="0.35">
      <c r="B35" s="15" t="s">
        <v>39</v>
      </c>
      <c r="C35" s="16"/>
      <c r="D35" s="16"/>
      <c r="E35" s="16"/>
      <c r="F35" s="16"/>
      <c r="G35" s="16"/>
      <c r="H35" s="16"/>
    </row>
    <row r="36" spans="2:12" ht="25" customHeight="1" x14ac:dyDescent="0.35">
      <c r="B36" s="16" t="s">
        <v>29</v>
      </c>
      <c r="C36" s="16" t="s">
        <v>31</v>
      </c>
      <c r="D36" s="16" t="s">
        <v>32</v>
      </c>
      <c r="E36" s="16" t="s">
        <v>33</v>
      </c>
      <c r="F36" s="16" t="s">
        <v>34</v>
      </c>
      <c r="G36" s="16" t="s">
        <v>35</v>
      </c>
      <c r="H36" s="16" t="s">
        <v>36</v>
      </c>
    </row>
    <row r="37" spans="2:12" ht="25" customHeight="1" x14ac:dyDescent="0.35">
      <c r="B37" s="17">
        <v>46110</v>
      </c>
      <c r="C37" s="17">
        <v>46111</v>
      </c>
      <c r="D37" s="17">
        <v>46112</v>
      </c>
      <c r="E37" s="16">
        <v>46113</v>
      </c>
      <c r="F37" s="16">
        <v>46114</v>
      </c>
      <c r="G37" s="44">
        <v>46115</v>
      </c>
      <c r="H37" s="44">
        <v>46116</v>
      </c>
      <c r="J37" t="s">
        <v>51</v>
      </c>
      <c r="L37" t="s">
        <v>88</v>
      </c>
    </row>
    <row r="38" spans="2:12" ht="25" customHeight="1" x14ac:dyDescent="0.35">
      <c r="B38" s="16"/>
      <c r="C38" s="16"/>
      <c r="D38" s="16"/>
      <c r="E38" s="16"/>
      <c r="F38" s="16"/>
      <c r="G38" s="44"/>
      <c r="H38" s="44"/>
    </row>
    <row r="39" spans="2:12" ht="25" customHeight="1" x14ac:dyDescent="0.35">
      <c r="B39" s="44">
        <v>46117</v>
      </c>
      <c r="C39" s="44">
        <v>46118</v>
      </c>
      <c r="D39" s="16">
        <v>46119</v>
      </c>
      <c r="E39" s="16">
        <v>46120</v>
      </c>
      <c r="F39" s="16">
        <v>46121</v>
      </c>
      <c r="G39" s="16">
        <v>46122</v>
      </c>
      <c r="H39" s="16">
        <v>46123</v>
      </c>
      <c r="J39" t="s">
        <v>52</v>
      </c>
    </row>
    <row r="40" spans="2:12" ht="25" customHeight="1" x14ac:dyDescent="0.35">
      <c r="B40" s="44"/>
      <c r="C40" s="44"/>
      <c r="D40" s="16"/>
      <c r="E40" s="16"/>
      <c r="F40" s="16"/>
      <c r="G40" s="16"/>
      <c r="H40" s="16"/>
    </row>
    <row r="41" spans="2:12" ht="25" customHeight="1" x14ac:dyDescent="0.35">
      <c r="B41" s="16">
        <v>46124</v>
      </c>
      <c r="C41" s="16">
        <v>46125</v>
      </c>
      <c r="D41" s="16">
        <v>46126</v>
      </c>
      <c r="E41" s="16">
        <v>46127</v>
      </c>
      <c r="F41" s="16">
        <v>46128</v>
      </c>
      <c r="G41" s="16">
        <v>46129</v>
      </c>
      <c r="H41" s="16">
        <v>46130</v>
      </c>
      <c r="J41" t="s">
        <v>53</v>
      </c>
    </row>
    <row r="42" spans="2:12" ht="25" customHeight="1" x14ac:dyDescent="0.35">
      <c r="B42" s="16"/>
      <c r="C42" s="16"/>
      <c r="D42" s="16"/>
      <c r="E42" s="16"/>
      <c r="F42" s="16"/>
      <c r="G42" s="16"/>
      <c r="H42" s="16"/>
    </row>
    <row r="43" spans="2:12" ht="25" customHeight="1" x14ac:dyDescent="0.35">
      <c r="B43" s="16">
        <v>46131</v>
      </c>
      <c r="C43" s="16">
        <v>46132</v>
      </c>
      <c r="D43" s="16">
        <v>46133</v>
      </c>
      <c r="E43" s="16">
        <v>46134</v>
      </c>
      <c r="F43" s="16">
        <v>46135</v>
      </c>
      <c r="G43" s="16">
        <v>46136</v>
      </c>
      <c r="H43" s="16">
        <v>46137</v>
      </c>
      <c r="J43" t="s">
        <v>54</v>
      </c>
    </row>
    <row r="44" spans="2:12" ht="25" customHeight="1" x14ac:dyDescent="0.35">
      <c r="B44" s="16"/>
      <c r="C44" s="16"/>
      <c r="D44" s="16"/>
      <c r="E44" s="16"/>
      <c r="F44" s="16"/>
      <c r="G44" s="16"/>
      <c r="H44" s="16"/>
    </row>
    <row r="45" spans="2:12" ht="25" customHeight="1" x14ac:dyDescent="0.35">
      <c r="B45" s="16">
        <v>46138</v>
      </c>
      <c r="C45" s="16">
        <v>46139</v>
      </c>
      <c r="D45" s="16">
        <v>46140</v>
      </c>
      <c r="E45" s="16">
        <v>46141</v>
      </c>
      <c r="F45" s="25">
        <v>46142</v>
      </c>
      <c r="G45" s="16"/>
      <c r="H45" s="16"/>
      <c r="J45" t="s">
        <v>55</v>
      </c>
    </row>
    <row r="46" spans="2:12" ht="25" customHeight="1" x14ac:dyDescent="0.35">
      <c r="B46" s="11"/>
      <c r="C46" s="11"/>
      <c r="D46" s="11"/>
      <c r="E46" s="11"/>
      <c r="F46" s="11"/>
      <c r="G46" s="11"/>
      <c r="H46" s="11"/>
    </row>
    <row r="47" spans="2:12" ht="25" customHeight="1" x14ac:dyDescent="0.35">
      <c r="B47" s="12" t="s">
        <v>40</v>
      </c>
      <c r="C47" s="13"/>
      <c r="D47" s="13"/>
      <c r="E47" s="13"/>
      <c r="F47" s="13"/>
      <c r="G47" s="13"/>
      <c r="H47" s="13"/>
    </row>
    <row r="48" spans="2:12" ht="25" customHeight="1" x14ac:dyDescent="0.35">
      <c r="B48" s="13" t="s">
        <v>29</v>
      </c>
      <c r="C48" s="13" t="s">
        <v>31</v>
      </c>
      <c r="D48" s="13" t="s">
        <v>32</v>
      </c>
      <c r="E48" s="13" t="s">
        <v>33</v>
      </c>
      <c r="F48" s="13" t="s">
        <v>34</v>
      </c>
      <c r="G48" s="13" t="s">
        <v>35</v>
      </c>
      <c r="H48" s="13" t="s">
        <v>36</v>
      </c>
    </row>
    <row r="49" spans="2:10" ht="25" customHeight="1" x14ac:dyDescent="0.35">
      <c r="B49" s="14">
        <v>46138</v>
      </c>
      <c r="C49" s="14">
        <v>46139</v>
      </c>
      <c r="D49" s="14">
        <v>46140</v>
      </c>
      <c r="E49" s="14">
        <v>46141</v>
      </c>
      <c r="F49" s="12">
        <v>46142</v>
      </c>
      <c r="G49" s="13">
        <v>46143</v>
      </c>
      <c r="H49" s="13">
        <v>46144</v>
      </c>
      <c r="J49" t="s">
        <v>55</v>
      </c>
    </row>
    <row r="50" spans="2:10" ht="25" customHeight="1" x14ac:dyDescent="0.35">
      <c r="B50" s="13"/>
      <c r="C50" s="13"/>
      <c r="D50" s="13"/>
      <c r="E50" s="13"/>
      <c r="F50" s="13"/>
      <c r="G50" s="13"/>
      <c r="H50" s="13"/>
    </row>
    <row r="51" spans="2:10" ht="25" customHeight="1" x14ac:dyDescent="0.35">
      <c r="B51" s="13">
        <v>46145</v>
      </c>
      <c r="C51" s="12">
        <v>46146</v>
      </c>
      <c r="D51" s="13">
        <v>46147</v>
      </c>
      <c r="E51" s="13">
        <v>46148</v>
      </c>
      <c r="F51" s="13">
        <v>46149</v>
      </c>
      <c r="G51" s="13">
        <v>46150</v>
      </c>
      <c r="H51" s="13">
        <v>46151</v>
      </c>
    </row>
    <row r="52" spans="2:10" ht="25" customHeight="1" x14ac:dyDescent="0.35">
      <c r="B52" s="13"/>
      <c r="C52" s="13"/>
      <c r="D52" s="13"/>
      <c r="E52" s="13"/>
      <c r="F52" s="13"/>
      <c r="G52" s="13"/>
      <c r="H52" s="13"/>
    </row>
    <row r="53" spans="2:10" ht="25" customHeight="1" x14ac:dyDescent="0.35">
      <c r="B53" s="13">
        <v>46152</v>
      </c>
      <c r="C53" s="13">
        <v>46153</v>
      </c>
      <c r="D53" s="13">
        <v>46154</v>
      </c>
      <c r="E53" s="13">
        <v>46155</v>
      </c>
      <c r="F53" s="13">
        <v>46156</v>
      </c>
      <c r="G53" s="13">
        <v>46157</v>
      </c>
      <c r="H53" s="13">
        <v>46158</v>
      </c>
    </row>
    <row r="54" spans="2:10" ht="25" customHeight="1" x14ac:dyDescent="0.35">
      <c r="B54" s="13"/>
      <c r="C54" s="13"/>
      <c r="D54" s="13"/>
      <c r="E54" s="13"/>
      <c r="F54" s="13"/>
      <c r="G54" s="13"/>
      <c r="H54" s="13"/>
    </row>
    <row r="55" spans="2:10" ht="25" customHeight="1" x14ac:dyDescent="0.35">
      <c r="B55" s="13">
        <v>46159</v>
      </c>
      <c r="C55" s="13">
        <v>46160</v>
      </c>
      <c r="D55" s="13">
        <v>46161</v>
      </c>
      <c r="E55" s="13">
        <v>46162</v>
      </c>
      <c r="F55" s="13">
        <v>46163</v>
      </c>
      <c r="G55" s="13">
        <v>46164</v>
      </c>
      <c r="H55" s="13">
        <v>46165</v>
      </c>
    </row>
    <row r="56" spans="2:10" ht="25" customHeight="1" x14ac:dyDescent="0.35">
      <c r="B56" s="13"/>
      <c r="C56" s="13"/>
      <c r="D56" s="13"/>
      <c r="E56" s="13"/>
      <c r="F56" s="13"/>
      <c r="G56" s="13"/>
      <c r="H56" s="13"/>
    </row>
    <row r="57" spans="2:10" ht="25" customHeight="1" x14ac:dyDescent="0.35">
      <c r="B57" s="13">
        <v>46166</v>
      </c>
      <c r="C57" s="13">
        <v>46167</v>
      </c>
      <c r="D57" s="13">
        <v>46168</v>
      </c>
      <c r="E57" s="13">
        <v>46169</v>
      </c>
      <c r="F57" s="13">
        <v>46170</v>
      </c>
      <c r="G57" s="13">
        <v>46171</v>
      </c>
      <c r="H57" s="13">
        <v>46172</v>
      </c>
    </row>
    <row r="58" spans="2:10" ht="25" customHeight="1" x14ac:dyDescent="0.35">
      <c r="B58" s="13"/>
      <c r="C58" s="13"/>
      <c r="D58" s="13"/>
      <c r="E58" s="13"/>
      <c r="F58" s="13"/>
      <c r="G58" s="13"/>
      <c r="H58" s="13"/>
    </row>
    <row r="59" spans="2:10" ht="25" customHeight="1" x14ac:dyDescent="0.35">
      <c r="B59" s="13">
        <v>46173</v>
      </c>
      <c r="C59" s="13"/>
      <c r="D59" s="13"/>
      <c r="E59" s="13"/>
      <c r="F59" s="13"/>
      <c r="G59" s="13"/>
      <c r="H59" s="13"/>
    </row>
    <row r="60" spans="2:10" ht="25" customHeight="1" x14ac:dyDescent="0.35">
      <c r="B60" s="10"/>
      <c r="C60" s="10"/>
      <c r="D60" s="10"/>
      <c r="E60" s="10"/>
      <c r="F60" s="10"/>
      <c r="G60" s="10"/>
      <c r="H60" s="10"/>
    </row>
    <row r="61" spans="2:10" ht="25" customHeight="1" x14ac:dyDescent="0.35"/>
    <row r="62" spans="2:10" ht="25" customHeight="1" x14ac:dyDescent="0.35"/>
    <row r="63" spans="2:10" ht="25" customHeight="1" x14ac:dyDescent="0.35"/>
    <row r="64" spans="2:10" ht="25" customHeight="1" x14ac:dyDescent="0.35"/>
    <row r="65" ht="25" customHeight="1" x14ac:dyDescent="0.35"/>
    <row r="66" ht="25" customHeight="1" x14ac:dyDescent="0.35"/>
    <row r="67" ht="25" customHeight="1" x14ac:dyDescent="0.35"/>
    <row r="68" ht="25" customHeight="1" x14ac:dyDescent="0.35"/>
    <row r="69" ht="25" customHeight="1" x14ac:dyDescent="0.35"/>
    <row r="70" ht="25" customHeight="1" x14ac:dyDescent="0.35"/>
    <row r="71" ht="25" customHeight="1" x14ac:dyDescent="0.35"/>
    <row r="72" ht="25" customHeight="1" x14ac:dyDescent="0.35"/>
    <row r="73" ht="25" customHeight="1" x14ac:dyDescent="0.35"/>
    <row r="74" ht="25" customHeight="1" x14ac:dyDescent="0.35"/>
    <row r="75" ht="25" customHeight="1" x14ac:dyDescent="0.35"/>
    <row r="76" ht="25" customHeight="1" x14ac:dyDescent="0.35"/>
    <row r="77" ht="25" customHeight="1" x14ac:dyDescent="0.35"/>
    <row r="78" ht="25" customHeight="1" x14ac:dyDescent="0.35"/>
    <row r="79" ht="25" customHeight="1" x14ac:dyDescent="0.35"/>
    <row r="80" ht="25" customHeight="1" x14ac:dyDescent="0.35"/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</sheetData>
  <phoneticPr fontId="12" type="noConversion"/>
  <dataValidations count="13"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4" xr:uid="{84557B4D-3AA0-43F2-B7C6-9B28D4E55359}"/>
    <dataValidation allowBlank="1" showInputMessage="1" showErrorMessage="1" prompt="The year in this cell is automatically updated. Select another year in cell K3 to change the year" sqref="C2" xr:uid="{7661FEC9-47FD-446C-8088-BC822E32A2F4}"/>
    <dataValidation allowBlank="1" showInputMessage="1" showErrorMessage="1" prompt="This row &amp; rows 6, 8, 10, 12, &amp; 14 are cells for entering daily notes related to the calendar day in the cell above" sqref="B5" xr:uid="{DD43DEB5-799E-4896-A9AD-50B9C2FEE53C}"/>
    <dataValidation allowBlank="1" showInputMessage="1" showErrorMessage="1" prompt="Automatically determined weekday" sqref="C3:H3" xr:uid="{B4820016-A866-4DBE-966B-C347097DB6A1}"/>
    <dataValidation allowBlank="1" showErrorMessage="1" prompt="The year in this cell is automatically updated based on the year entered in cell K2. Calendar below has dates for previous and next month with lighter font shade" sqref="B2" xr:uid="{E3951B0B-E049-4787-A6B6-8BBD50BB16D9}"/>
    <dataValidation allowBlank="1" showInputMessage="1" showErrorMessage="1" prompt="This row contains the weekday names for this calendar. This cell contains the starting day of the week. To change the starting day, enter a new weekday in cell K4" sqref="B3" xr:uid="{9B4D0465-34D4-426B-AE8D-A541CAE7EB97}"/>
    <dataValidation allowBlank="1" showInputMessage="1" showErrorMessage="1" prompt="Enter Notes in the cell at right" sqref="D13:D14" xr:uid="{4A891803-5B76-40A9-A77A-8EED55670383}"/>
    <dataValidation allowBlank="1" showInputMessage="1" showErrorMessage="1" prompt="Enter Notes in this cell" sqref="E13:H14" xr:uid="{7BDA736C-ED07-48C4-BD5C-0CACEE9751B0}"/>
    <dataValidation allowBlank="1" showInputMessage="1" showErrorMessage="1" prompt="Enter year in this cell" sqref="K4" xr:uid="{EDB60011-A6E5-42C0-9FAA-3F5D6F7DAB45}"/>
    <dataValidation allowBlank="1" showInputMessage="1" showErrorMessage="1" prompt="Select week start day in cell at right" sqref="J5" xr:uid="{98C7CF4C-FA15-4234-8250-EF86E1FAC921}"/>
    <dataValidation allowBlank="1" showInputMessage="1" showErrorMessage="1" prompt="Enter year in cell at right" sqref="J4" xr:uid="{9219E110-A9FB-48DE-B2FA-AD0C5EEE4575}"/>
    <dataValidation allowBlank="1" showInputMessage="1" showErrorMessage="1" prompt="Enter year and select calendar start day in the cells below. These Calendar Settings cells will not print" sqref="J3" xr:uid="{14339ECF-3095-4DDF-BA44-9513A7AFC2FF}"/>
    <dataValidation type="list" errorStyle="warning" allowBlank="1" showInputMessage="1" showErrorMessage="1" error="Select a day from the list. Select CANCEL, then press ALT+DOWN ARROW to pick day from the drop-down list" prompt="Select week start day in this cell. Press ALT+DOWN ARROW to open the drop-down list, then press ENTER to select the week start day" sqref="K5" xr:uid="{B687E870-BAC9-4309-AB2A-2F334DF0E5B2}">
      <formula1>"SUNDAY,MONDAY"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4AA550EBC5E41892D5671AA4A99A1" ma:contentTypeVersion="14" ma:contentTypeDescription="Create a new document." ma:contentTypeScope="" ma:versionID="cf330c9b41530def7ba39da2419d90f0">
  <xsd:schema xmlns:xsd="http://www.w3.org/2001/XMLSchema" xmlns:xs="http://www.w3.org/2001/XMLSchema" xmlns:p="http://schemas.microsoft.com/office/2006/metadata/properties" xmlns:ns3="66fbcdd2-3b94-456f-bae5-541ca03ce29d" xmlns:ns4="23063f74-07e0-4b85-8f7d-b76130c22c86" targetNamespace="http://schemas.microsoft.com/office/2006/metadata/properties" ma:root="true" ma:fieldsID="1752d281200deb93b197ec7008c54c20" ns3:_="" ns4:_="">
    <xsd:import namespace="66fbcdd2-3b94-456f-bae5-541ca03ce29d"/>
    <xsd:import namespace="23063f74-07e0-4b85-8f7d-b76130c22c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fbcdd2-3b94-456f-bae5-541ca03ce2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63f74-07e0-4b85-8f7d-b76130c22c8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fbcdd2-3b94-456f-bae5-541ca03ce29d" xsi:nil="true"/>
  </documentManagement>
</p:properties>
</file>

<file path=customXml/itemProps1.xml><?xml version="1.0" encoding="utf-8"?>
<ds:datastoreItem xmlns:ds="http://schemas.openxmlformats.org/officeDocument/2006/customXml" ds:itemID="{7EC8FF5A-BB9F-4705-973D-F1FB5C97F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fbcdd2-3b94-456f-bae5-541ca03ce29d"/>
    <ds:schemaRef ds:uri="23063f74-07e0-4b85-8f7d-b76130c22c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034A47-8E73-4FB3-9B9C-A0C536976C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FACEF6-24B6-42B2-B347-E18D55DA2C77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23063f74-07e0-4b85-8f7d-b76130c22c86"/>
    <ds:schemaRef ds:uri="66fbcdd2-3b94-456f-bae5-541ca03ce2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Requirements</vt:lpstr>
      <vt:lpstr>Timeline</vt:lpstr>
      <vt:lpstr>CalendarYear</vt:lpstr>
      <vt:lpstr>WeekStart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Elise Keppel</dc:creator>
  <cp:lastModifiedBy>Kelsey Elise Keppel</cp:lastModifiedBy>
  <dcterms:created xsi:type="dcterms:W3CDTF">2026-01-03T00:20:38Z</dcterms:created>
  <dcterms:modified xsi:type="dcterms:W3CDTF">2026-01-19T14:02:20Z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0x01010061A4AA550EBC5E41892D5671AA4A99A1</vt:lpwstr>
  </property>
</Properties>
</file>